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tc={7608938f-a9dd-409c-b4ba-139a4dafe879}</author>
  </authors>
  <commentList>
    <comment authorId="0" xr:uid="{7608938f-a9dd-409c-b4ba-139a4dafe879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Mensalidade só para frente 2
</t>
      </text>
    </comment>
  </commentList>
</comments>
</file>

<file path=xl/sharedStrings.xml><?xml version="1.0" encoding="utf-8"?>
<sst xmlns="http://schemas.openxmlformats.org/spreadsheetml/2006/main" count="29" uniqueCount="25">
  <si>
    <t>Dados Mensais</t>
  </si>
  <si>
    <t>Parâmetros</t>
  </si>
  <si>
    <t>Armazenamento (AWS S3)</t>
  </si>
  <si>
    <t>Veículos</t>
  </si>
  <si>
    <t>Ingestão (AWS Lambda)</t>
  </si>
  <si>
    <t>Viagens/dia</t>
  </si>
  <si>
    <t>Processamento (Batches)</t>
  </si>
  <si>
    <t>MB por viagem</t>
  </si>
  <si>
    <t>5 MB</t>
  </si>
  <si>
    <t>Inferência ML (SageMaker)</t>
  </si>
  <si>
    <t>Retenção de Dados</t>
  </si>
  <si>
    <t>12 Meses</t>
  </si>
  <si>
    <t>Banco de Dados (RDS)</t>
  </si>
  <si>
    <t>Relatório SOH</t>
  </si>
  <si>
    <t>7 dias</t>
  </si>
  <si>
    <t>Transferência de Dados (S3)</t>
  </si>
  <si>
    <t>TOTAL ($USD)</t>
  </si>
  <si>
    <t>Custo</t>
  </si>
  <si>
    <t>TOTAL (BRL)</t>
  </si>
  <si>
    <t>Mensalidade</t>
  </si>
  <si>
    <t>Custo de Operação</t>
  </si>
  <si>
    <t>Mês</t>
  </si>
  <si>
    <t>Valor Acumulado (R$)</t>
  </si>
  <si>
    <t>Clientes</t>
  </si>
  <si>
    <t>Lucro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</si>
</sst>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[$R$ -416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434343"/>
      <name val="Roboto"/>
    </font>
    <font>
      <color rgb="FF434343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Font="1"/>
    <xf borderId="1" fillId="3" fontId="2" numFmtId="0" xfId="0" applyAlignment="1" applyBorder="1" applyFill="1" applyFont="1">
      <alignment shrinkToFit="0" wrapText="0"/>
    </xf>
    <xf borderId="2" fillId="3" fontId="3" numFmtId="164" xfId="0" applyAlignment="1" applyBorder="1" applyFont="1" applyNumberForma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3" fillId="4" fontId="2" numFmtId="0" xfId="0" applyAlignment="1" applyBorder="1" applyFill="1" applyFont="1">
      <alignment shrinkToFit="0" wrapText="0"/>
    </xf>
    <xf borderId="4" fillId="4" fontId="3" numFmtId="164" xfId="0" applyAlignment="1" applyBorder="1" applyFont="1" applyNumberForma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4" fontId="3" numFmtId="0" xfId="0" applyAlignment="1" applyFont="1">
      <alignment readingOrder="0" shrinkToFit="0" wrapText="0"/>
    </xf>
    <xf borderId="0" fillId="4" fontId="3" numFmtId="0" xfId="0" applyAlignment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2" fillId="3" fontId="2" numFmtId="164" xfId="0" applyAlignment="1" applyBorder="1" applyFont="1" applyNumberFormat="1">
      <alignment shrinkToFit="0" wrapText="0"/>
    </xf>
    <xf borderId="0" fillId="3" fontId="2" numFmtId="0" xfId="0" applyAlignment="1" applyFont="1">
      <alignment shrinkToFit="0" wrapText="0"/>
    </xf>
    <xf borderId="0" fillId="3" fontId="2" numFmtId="165" xfId="0" applyAlignment="1" applyFont="1" applyNumberFormat="1">
      <alignment readingOrder="0" shrinkToFit="0" wrapText="0"/>
    </xf>
    <xf borderId="0" fillId="3" fontId="2" numFmtId="165" xfId="0" applyAlignment="1" applyFont="1" applyNumberFormat="1">
      <alignment shrinkToFit="0" wrapText="0"/>
    </xf>
    <xf borderId="0" fillId="3" fontId="2" numFmtId="2" xfId="0" applyAlignment="1" applyFont="1" applyNumberFormat="1">
      <alignment readingOrder="0" shrinkToFit="0" wrapText="0"/>
    </xf>
    <xf borderId="0" fillId="0" fontId="4" numFmtId="0" xfId="0" applyFont="1"/>
    <xf borderId="0" fillId="0" fontId="1" numFmtId="0" xfId="0" applyFont="1"/>
    <xf borderId="0" fillId="0" fontId="1" numFmtId="0" xfId="0" applyFont="1"/>
    <xf borderId="0" fillId="5" fontId="1" numFmtId="0" xfId="0" applyAlignment="1" applyFill="1" applyFont="1">
      <alignment readingOrder="0"/>
    </xf>
    <xf borderId="0" fillId="5" fontId="4" numFmtId="0" xfId="0" applyFont="1"/>
    <xf borderId="0" fillId="0" fontId="1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2" xfId="0" applyFont="1" applyNumberFormat="1"/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heus de Almeida Virissimo" id="{a197ea2d-b0c4-4635-8958-e66d645db001}" providerId="google-sheets"/>
</x18tc:personList>
</file>

<file path=xl/tables/table1.xml><?xml version="1.0" encoding="utf-8"?>
<table xmlns="http://schemas.openxmlformats.org/spreadsheetml/2006/main" headerRowCount="0" ref="A2:R9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" dT="2026-04-14T13:49:24.00" personId="{a197ea2d-b0c4-4635-8958-e66d645db001}" id="{7608938f-a9dd-409c-b4ba-139a4dafe879}" done="0">
    <x18tc:text xml:space="preserve">Mensalidade só para frente 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0.25"/>
  </cols>
  <sheetData>
    <row r="1">
      <c r="A1" s="1" t="s">
        <v>0</v>
      </c>
      <c r="B1" s="2"/>
      <c r="C1" s="3"/>
      <c r="D1" s="1" t="s">
        <v>1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2.31</v>
      </c>
      <c r="D2" s="6" t="s">
        <v>3</v>
      </c>
      <c r="E2" s="7">
        <v>50.0</v>
      </c>
      <c r="F2" s="7">
        <v>100.0</v>
      </c>
      <c r="G2" s="7">
        <v>130.0</v>
      </c>
      <c r="H2" s="7">
        <v>160.0</v>
      </c>
      <c r="I2" s="7">
        <v>190.0</v>
      </c>
      <c r="J2" s="7">
        <v>220.0</v>
      </c>
      <c r="K2" s="7">
        <v>340.0</v>
      </c>
      <c r="L2" s="7">
        <v>460.0</v>
      </c>
      <c r="M2" s="7">
        <v>580.0</v>
      </c>
      <c r="N2" s="7">
        <v>700.0</v>
      </c>
      <c r="O2" s="7">
        <v>820.0</v>
      </c>
      <c r="P2" s="7">
        <v>940.0</v>
      </c>
      <c r="Q2" s="7">
        <v>1060.0</v>
      </c>
      <c r="R2" s="7">
        <v>1180.0</v>
      </c>
    </row>
    <row r="3">
      <c r="A3" s="8" t="s">
        <v>4</v>
      </c>
      <c r="B3" s="9">
        <v>0.02</v>
      </c>
      <c r="D3" s="10" t="s">
        <v>5</v>
      </c>
      <c r="E3" s="11">
        <v>3.0</v>
      </c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>
      <c r="A4" s="4" t="s">
        <v>6</v>
      </c>
      <c r="B4" s="5">
        <v>2.07</v>
      </c>
      <c r="D4" s="6" t="s">
        <v>7</v>
      </c>
      <c r="E4" s="13" t="s">
        <v>8</v>
      </c>
      <c r="F4" s="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>
      <c r="A5" s="8" t="s">
        <v>9</v>
      </c>
      <c r="B5" s="9">
        <v>2.06</v>
      </c>
      <c r="D5" s="10" t="s">
        <v>10</v>
      </c>
      <c r="E5" s="11" t="s">
        <v>11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4" t="s">
        <v>12</v>
      </c>
      <c r="B6" s="5">
        <v>21.9</v>
      </c>
      <c r="D6" s="6" t="s">
        <v>13</v>
      </c>
      <c r="E6" s="7" t="s">
        <v>14</v>
      </c>
      <c r="F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>
      <c r="A7" s="8" t="s">
        <v>15</v>
      </c>
      <c r="B7" s="9">
        <v>0.2</v>
      </c>
      <c r="C7" s="11"/>
      <c r="D7" s="11"/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4" t="s">
        <v>16</v>
      </c>
      <c r="B8" s="15">
        <f>SUM(B2:B7)</f>
        <v>28.56</v>
      </c>
      <c r="C8" s="16"/>
      <c r="D8" s="6" t="s">
        <v>17</v>
      </c>
      <c r="E8" s="17">
        <v>142.8</v>
      </c>
      <c r="F8" s="17">
        <v>180.0</v>
      </c>
      <c r="G8" s="17">
        <v>200.0</v>
      </c>
      <c r="H8" s="17">
        <v>220.0</v>
      </c>
      <c r="I8" s="17">
        <v>241.0</v>
      </c>
      <c r="J8" s="17">
        <v>394.0</v>
      </c>
      <c r="K8" s="17">
        <v>475.0</v>
      </c>
      <c r="L8" s="17">
        <v>557.0</v>
      </c>
      <c r="M8" s="17">
        <v>638.0</v>
      </c>
      <c r="N8" s="17">
        <v>700.0</v>
      </c>
      <c r="O8" s="17">
        <v>1046.0</v>
      </c>
      <c r="P8" s="17">
        <v>1127.0</v>
      </c>
      <c r="Q8" s="17">
        <v>1209.0</v>
      </c>
      <c r="R8" s="17">
        <v>1290.0</v>
      </c>
    </row>
    <row r="9">
      <c r="A9" s="6" t="s">
        <v>18</v>
      </c>
      <c r="B9" s="18">
        <f>PRODUCT(B8*5)</f>
        <v>142.8</v>
      </c>
      <c r="C9" s="16"/>
      <c r="D9" s="6" t="s">
        <v>19</v>
      </c>
      <c r="E9" s="19">
        <v>24.9</v>
      </c>
      <c r="F9" s="19">
        <v>24.9</v>
      </c>
      <c r="G9" s="19">
        <v>24.9</v>
      </c>
      <c r="H9" s="19">
        <v>29.9</v>
      </c>
      <c r="I9" s="19">
        <v>29.9</v>
      </c>
      <c r="J9" s="19">
        <v>29.9</v>
      </c>
      <c r="K9" s="19">
        <v>29.9</v>
      </c>
      <c r="L9" s="19">
        <v>29.9</v>
      </c>
      <c r="M9" s="19">
        <v>29.9</v>
      </c>
      <c r="N9" s="19">
        <v>34.5</v>
      </c>
      <c r="O9" s="19">
        <v>34.5</v>
      </c>
      <c r="P9" s="19">
        <v>34.5</v>
      </c>
      <c r="Q9" s="19">
        <v>34.5</v>
      </c>
      <c r="R9" s="19">
        <v>34.5</v>
      </c>
    </row>
    <row r="10">
      <c r="A10" s="20"/>
      <c r="B10" s="20"/>
      <c r="C10" s="20"/>
      <c r="D10" s="20"/>
    </row>
    <row r="11">
      <c r="A11" s="20"/>
      <c r="B11" s="20"/>
      <c r="C11" s="20"/>
      <c r="D11" s="20"/>
    </row>
    <row r="12">
      <c r="A12" s="20"/>
      <c r="B12" s="20"/>
      <c r="C12" s="20"/>
      <c r="D12" s="20"/>
    </row>
    <row r="13">
      <c r="A13" s="20"/>
      <c r="B13" s="20"/>
      <c r="C13" s="20"/>
      <c r="D13" s="20"/>
    </row>
    <row r="14">
      <c r="A14" s="1" t="s">
        <v>20</v>
      </c>
      <c r="B14" s="21"/>
      <c r="C14" s="21"/>
      <c r="D14" s="21"/>
      <c r="E14" s="22"/>
    </row>
    <row r="15">
      <c r="A15" s="23" t="s">
        <v>21</v>
      </c>
      <c r="B15" s="23" t="s">
        <v>22</v>
      </c>
      <c r="C15" s="23" t="s">
        <v>23</v>
      </c>
      <c r="D15" s="23" t="s">
        <v>24</v>
      </c>
      <c r="E15" s="24"/>
      <c r="F15" s="23" t="s">
        <v>21</v>
      </c>
      <c r="G15" s="23" t="s">
        <v>22</v>
      </c>
      <c r="H15" s="23" t="s">
        <v>23</v>
      </c>
      <c r="I15" s="23" t="s">
        <v>24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>
        <v>1.0</v>
      </c>
      <c r="B16" s="26">
        <f t="shared" ref="B16:B39" si="1">PRODUCT(92.45,ROW(A1))</f>
        <v>92.45</v>
      </c>
      <c r="C16" s="27">
        <v>0.0</v>
      </c>
      <c r="D16" s="27">
        <v>-142.8</v>
      </c>
      <c r="F16" s="25">
        <v>36.0</v>
      </c>
      <c r="G16" s="28">
        <f>SUM(B39,92.45*12)</f>
        <v>3328.2</v>
      </c>
      <c r="H16" s="27">
        <f>SUM(C39,120)</f>
        <v>265</v>
      </c>
      <c r="I16" s="29">
        <f>SUM(D39,-475+H16*29.9)</f>
        <v>45177.4</v>
      </c>
    </row>
    <row r="17">
      <c r="A17" s="25">
        <f t="shared" ref="A17:A39" si="2">ROW(A2)</f>
        <v>2</v>
      </c>
      <c r="B17" s="26">
        <f t="shared" si="1"/>
        <v>184.9</v>
      </c>
      <c r="C17" s="27">
        <v>5.0</v>
      </c>
      <c r="D17" s="29">
        <f t="shared" ref="D17:D22" si="3">SUM(D16,-142.8+C17*24.9)</f>
        <v>-161.1</v>
      </c>
      <c r="F17" s="25">
        <v>48.0</v>
      </c>
      <c r="G17" s="28">
        <f t="shared" ref="G17:G23" si="4">SUM(G16,92.45*12)</f>
        <v>4437.6</v>
      </c>
      <c r="H17" s="29">
        <f t="shared" ref="H17:H23" si="5">SUM(H16,120)</f>
        <v>385</v>
      </c>
      <c r="I17" s="29">
        <f>SUM(I16,-557+H17*29.9)</f>
        <v>56131.9</v>
      </c>
    </row>
    <row r="18">
      <c r="A18" s="25">
        <f t="shared" si="2"/>
        <v>3</v>
      </c>
      <c r="B18" s="26">
        <f t="shared" si="1"/>
        <v>277.35</v>
      </c>
      <c r="C18" s="27">
        <v>10.0</v>
      </c>
      <c r="D18" s="29">
        <f t="shared" si="3"/>
        <v>-54.9</v>
      </c>
      <c r="F18" s="25">
        <v>60.0</v>
      </c>
      <c r="G18" s="28">
        <f t="shared" si="4"/>
        <v>5547</v>
      </c>
      <c r="H18" s="29">
        <f t="shared" si="5"/>
        <v>505</v>
      </c>
      <c r="I18" s="29">
        <f>SUM(I17,-638+H18*29.9)</f>
        <v>70593.4</v>
      </c>
    </row>
    <row r="19">
      <c r="A19" s="25">
        <f t="shared" si="2"/>
        <v>4</v>
      </c>
      <c r="B19" s="26">
        <f t="shared" si="1"/>
        <v>369.8</v>
      </c>
      <c r="C19" s="27">
        <v>15.0</v>
      </c>
      <c r="D19" s="29">
        <f t="shared" si="3"/>
        <v>175.8</v>
      </c>
      <c r="F19" s="25">
        <v>72.0</v>
      </c>
      <c r="G19" s="28">
        <f t="shared" si="4"/>
        <v>6656.4</v>
      </c>
      <c r="H19" s="29">
        <f t="shared" si="5"/>
        <v>625</v>
      </c>
      <c r="I19" s="29">
        <f>SUM(I18,-700+H19*34.5)</f>
        <v>91455.9</v>
      </c>
    </row>
    <row r="20">
      <c r="A20" s="25">
        <f t="shared" si="2"/>
        <v>5</v>
      </c>
      <c r="B20" s="26">
        <f t="shared" si="1"/>
        <v>462.25</v>
      </c>
      <c r="C20" s="20">
        <f t="shared" ref="C20:C33" si="6">SUM(C19,5)</f>
        <v>20</v>
      </c>
      <c r="D20" s="29">
        <f t="shared" si="3"/>
        <v>531</v>
      </c>
      <c r="F20" s="25">
        <v>84.0</v>
      </c>
      <c r="G20" s="28">
        <f t="shared" si="4"/>
        <v>7765.8</v>
      </c>
      <c r="H20" s="29">
        <f t="shared" si="5"/>
        <v>745</v>
      </c>
      <c r="I20" s="29">
        <f>SUM(I19,-1046+H20*34.5)</f>
        <v>116112.4</v>
      </c>
    </row>
    <row r="21">
      <c r="A21" s="25">
        <f t="shared" si="2"/>
        <v>6</v>
      </c>
      <c r="B21" s="26">
        <f t="shared" si="1"/>
        <v>554.7</v>
      </c>
      <c r="C21" s="20">
        <f t="shared" si="6"/>
        <v>25</v>
      </c>
      <c r="D21" s="29">
        <f t="shared" si="3"/>
        <v>1010.7</v>
      </c>
      <c r="F21" s="25">
        <v>96.0</v>
      </c>
      <c r="G21" s="28">
        <f t="shared" si="4"/>
        <v>8875.2</v>
      </c>
      <c r="H21" s="29">
        <f t="shared" si="5"/>
        <v>865</v>
      </c>
      <c r="I21" s="29">
        <f>SUM(I20,-1127+H21*34.5)</f>
        <v>144827.9</v>
      </c>
    </row>
    <row r="22">
      <c r="A22" s="25">
        <f t="shared" si="2"/>
        <v>7</v>
      </c>
      <c r="B22" s="26">
        <f t="shared" si="1"/>
        <v>647.15</v>
      </c>
      <c r="C22" s="20">
        <f t="shared" si="6"/>
        <v>30</v>
      </c>
      <c r="D22" s="29">
        <f t="shared" si="3"/>
        <v>1614.9</v>
      </c>
      <c r="F22" s="25">
        <v>108.0</v>
      </c>
      <c r="G22" s="28">
        <f t="shared" si="4"/>
        <v>9984.6</v>
      </c>
      <c r="H22" s="29">
        <f t="shared" si="5"/>
        <v>985</v>
      </c>
      <c r="I22" s="29">
        <f>SUM(I21,-1209+H22*34.5)</f>
        <v>177601.4</v>
      </c>
    </row>
    <row r="23">
      <c r="A23" s="25">
        <f t="shared" si="2"/>
        <v>8</v>
      </c>
      <c r="B23" s="26">
        <f t="shared" si="1"/>
        <v>739.6</v>
      </c>
      <c r="C23" s="20">
        <f t="shared" si="6"/>
        <v>35</v>
      </c>
      <c r="D23" s="29">
        <f t="shared" ref="D23:D26" si="7">SUM(D22,-142+C23*24.9)</f>
        <v>2344.4</v>
      </c>
      <c r="F23" s="25">
        <v>120.0</v>
      </c>
      <c r="G23" s="28">
        <f t="shared" si="4"/>
        <v>11094</v>
      </c>
      <c r="H23" s="29">
        <f t="shared" si="5"/>
        <v>1105</v>
      </c>
      <c r="I23" s="29">
        <f>SUM(I22,-1290+H23*34.5)</f>
        <v>214433.9</v>
      </c>
    </row>
    <row r="24">
      <c r="A24" s="25">
        <f t="shared" si="2"/>
        <v>9</v>
      </c>
      <c r="B24" s="26">
        <f t="shared" si="1"/>
        <v>832.05</v>
      </c>
      <c r="C24" s="20">
        <f t="shared" si="6"/>
        <v>40</v>
      </c>
      <c r="D24" s="29">
        <f t="shared" si="7"/>
        <v>3198.4</v>
      </c>
    </row>
    <row r="25">
      <c r="A25" s="25">
        <f t="shared" si="2"/>
        <v>10</v>
      </c>
      <c r="B25" s="26">
        <f t="shared" si="1"/>
        <v>924.5</v>
      </c>
      <c r="C25" s="20">
        <f t="shared" si="6"/>
        <v>45</v>
      </c>
      <c r="D25" s="29">
        <f t="shared" si="7"/>
        <v>4176.9</v>
      </c>
    </row>
    <row r="26">
      <c r="A26" s="25">
        <f t="shared" si="2"/>
        <v>11</v>
      </c>
      <c r="B26" s="26">
        <f t="shared" si="1"/>
        <v>1016.95</v>
      </c>
      <c r="C26" s="20">
        <f t="shared" si="6"/>
        <v>50</v>
      </c>
      <c r="D26" s="29">
        <f t="shared" si="7"/>
        <v>5279.9</v>
      </c>
    </row>
    <row r="27">
      <c r="A27" s="25">
        <f t="shared" si="2"/>
        <v>12</v>
      </c>
      <c r="B27" s="26">
        <f t="shared" si="1"/>
        <v>1109.4</v>
      </c>
      <c r="C27" s="20">
        <f t="shared" si="6"/>
        <v>55</v>
      </c>
      <c r="D27" s="29">
        <f t="shared" ref="D27:D30" si="8">SUM(D26,-180+C27*24.9)</f>
        <v>6469.4</v>
      </c>
    </row>
    <row r="28">
      <c r="A28" s="25">
        <f t="shared" si="2"/>
        <v>13</v>
      </c>
      <c r="B28" s="26">
        <f t="shared" si="1"/>
        <v>1201.85</v>
      </c>
      <c r="C28" s="20">
        <f t="shared" si="6"/>
        <v>60</v>
      </c>
      <c r="D28" s="29">
        <f t="shared" si="8"/>
        <v>7783.4</v>
      </c>
    </row>
    <row r="29">
      <c r="A29" s="25">
        <f t="shared" si="2"/>
        <v>14</v>
      </c>
      <c r="B29" s="26">
        <f t="shared" si="1"/>
        <v>1294.3</v>
      </c>
      <c r="C29" s="20">
        <f t="shared" si="6"/>
        <v>65</v>
      </c>
      <c r="D29" s="29">
        <f t="shared" si="8"/>
        <v>9221.9</v>
      </c>
    </row>
    <row r="30">
      <c r="A30" s="25">
        <f t="shared" si="2"/>
        <v>15</v>
      </c>
      <c r="B30" s="26">
        <f t="shared" si="1"/>
        <v>1386.75</v>
      </c>
      <c r="C30" s="20">
        <f t="shared" si="6"/>
        <v>70</v>
      </c>
      <c r="D30" s="29">
        <f t="shared" si="8"/>
        <v>10784.9</v>
      </c>
    </row>
    <row r="31">
      <c r="A31" s="25">
        <f t="shared" si="2"/>
        <v>16</v>
      </c>
      <c r="B31" s="26">
        <f t="shared" si="1"/>
        <v>1479.2</v>
      </c>
      <c r="C31" s="20">
        <f t="shared" si="6"/>
        <v>75</v>
      </c>
      <c r="D31" s="29">
        <f t="shared" ref="D31:D34" si="9">SUM(D30,-180+C31*29.9)</f>
        <v>12847.4</v>
      </c>
    </row>
    <row r="32">
      <c r="A32" s="25">
        <f t="shared" si="2"/>
        <v>17</v>
      </c>
      <c r="B32" s="26">
        <f t="shared" si="1"/>
        <v>1571.65</v>
      </c>
      <c r="C32" s="20">
        <f t="shared" si="6"/>
        <v>80</v>
      </c>
      <c r="D32" s="29">
        <f t="shared" si="9"/>
        <v>15059.4</v>
      </c>
    </row>
    <row r="33">
      <c r="A33" s="25">
        <f t="shared" si="2"/>
        <v>18</v>
      </c>
      <c r="B33" s="26">
        <f t="shared" si="1"/>
        <v>1664.1</v>
      </c>
      <c r="C33" s="20">
        <f t="shared" si="6"/>
        <v>85</v>
      </c>
      <c r="D33" s="29">
        <f t="shared" si="9"/>
        <v>17420.9</v>
      </c>
    </row>
    <row r="34">
      <c r="A34" s="25">
        <f t="shared" si="2"/>
        <v>19</v>
      </c>
      <c r="B34" s="26">
        <f t="shared" si="1"/>
        <v>1756.55</v>
      </c>
      <c r="C34" s="20">
        <f t="shared" ref="C34:C39" si="10">SUM(C33,10)</f>
        <v>95</v>
      </c>
      <c r="D34" s="29">
        <f t="shared" si="9"/>
        <v>20081.4</v>
      </c>
    </row>
    <row r="35">
      <c r="A35" s="25">
        <f t="shared" si="2"/>
        <v>20</v>
      </c>
      <c r="B35" s="26">
        <f t="shared" si="1"/>
        <v>1849</v>
      </c>
      <c r="C35" s="20">
        <f t="shared" si="10"/>
        <v>105</v>
      </c>
      <c r="D35" s="29">
        <f t="shared" ref="D35:D37" si="11">SUM(D34,-200+C35*29.9)</f>
        <v>23020.9</v>
      </c>
    </row>
    <row r="36">
      <c r="A36" s="25">
        <f t="shared" si="2"/>
        <v>21</v>
      </c>
      <c r="B36" s="26">
        <f t="shared" si="1"/>
        <v>1941.45</v>
      </c>
      <c r="C36" s="20">
        <f t="shared" si="10"/>
        <v>115</v>
      </c>
      <c r="D36" s="29">
        <f t="shared" si="11"/>
        <v>26259.4</v>
      </c>
    </row>
    <row r="37">
      <c r="A37" s="25">
        <f t="shared" si="2"/>
        <v>22</v>
      </c>
      <c r="B37" s="26">
        <f t="shared" si="1"/>
        <v>2033.9</v>
      </c>
      <c r="C37" s="20">
        <f t="shared" si="10"/>
        <v>125</v>
      </c>
      <c r="D37" s="29">
        <f t="shared" si="11"/>
        <v>29796.9</v>
      </c>
    </row>
    <row r="38">
      <c r="A38" s="25">
        <f t="shared" si="2"/>
        <v>23</v>
      </c>
      <c r="B38" s="26">
        <f t="shared" si="1"/>
        <v>2126.35</v>
      </c>
      <c r="C38" s="20">
        <f t="shared" si="10"/>
        <v>135</v>
      </c>
      <c r="D38" s="29">
        <f t="shared" ref="D38:D39" si="12">SUM(D37,-220+C38*29.9)</f>
        <v>33613.4</v>
      </c>
    </row>
    <row r="39">
      <c r="A39" s="25">
        <f t="shared" si="2"/>
        <v>24</v>
      </c>
      <c r="B39" s="26">
        <f t="shared" si="1"/>
        <v>2218.8</v>
      </c>
      <c r="C39" s="20">
        <f t="shared" si="10"/>
        <v>145</v>
      </c>
      <c r="D39" s="29">
        <f t="shared" si="12"/>
        <v>37728.9</v>
      </c>
    </row>
    <row r="40">
      <c r="B40" s="20"/>
      <c r="C40" s="20"/>
      <c r="D40" s="20"/>
    </row>
    <row r="41">
      <c r="A41" s="20"/>
      <c r="B41" s="20"/>
      <c r="C41" s="20"/>
      <c r="D41" s="20"/>
    </row>
    <row r="42">
      <c r="A42" s="20"/>
      <c r="B42" s="20"/>
      <c r="C42" s="20"/>
      <c r="D42" s="20"/>
    </row>
    <row r="43">
      <c r="A43" s="20"/>
      <c r="B43" s="20"/>
      <c r="C43" s="20"/>
      <c r="D43" s="20"/>
    </row>
    <row r="44">
      <c r="A44" s="20"/>
      <c r="B44" s="20"/>
      <c r="C44" s="20"/>
      <c r="D44" s="20"/>
    </row>
    <row r="45">
      <c r="A45" s="20"/>
      <c r="B45" s="20"/>
      <c r="C45" s="20"/>
      <c r="D45" s="20"/>
    </row>
    <row r="46">
      <c r="A46" s="20"/>
      <c r="B46" s="20"/>
      <c r="C46" s="20"/>
      <c r="D46" s="20"/>
    </row>
    <row r="47">
      <c r="A47" s="20"/>
      <c r="B47" s="20"/>
      <c r="C47" s="20"/>
      <c r="D47" s="20"/>
    </row>
    <row r="48">
      <c r="A48" s="20"/>
      <c r="B48" s="20"/>
      <c r="C48" s="20"/>
      <c r="D48" s="20"/>
    </row>
    <row r="49">
      <c r="A49" s="20"/>
      <c r="B49" s="20"/>
      <c r="C49" s="20"/>
      <c r="D49" s="20"/>
    </row>
    <row r="50">
      <c r="A50" s="20"/>
      <c r="B50" s="20"/>
      <c r="C50" s="20"/>
      <c r="D50" s="20"/>
    </row>
    <row r="51">
      <c r="A51" s="20"/>
      <c r="B51" s="20"/>
      <c r="C51" s="20"/>
      <c r="D51" s="20"/>
    </row>
    <row r="52">
      <c r="A52" s="20"/>
      <c r="B52" s="20"/>
      <c r="C52" s="20"/>
      <c r="D52" s="20"/>
    </row>
    <row r="53">
      <c r="A53" s="20"/>
      <c r="B53" s="20"/>
      <c r="C53" s="20"/>
      <c r="D53" s="20"/>
    </row>
    <row r="54">
      <c r="A54" s="20"/>
      <c r="B54" s="20"/>
      <c r="C54" s="20"/>
      <c r="D54" s="20"/>
    </row>
    <row r="55">
      <c r="A55" s="20"/>
      <c r="B55" s="20"/>
      <c r="C55" s="20"/>
      <c r="D55" s="20"/>
    </row>
    <row r="56">
      <c r="A56" s="20"/>
      <c r="B56" s="20"/>
      <c r="C56" s="20"/>
      <c r="D56" s="20"/>
    </row>
    <row r="57">
      <c r="A57" s="20"/>
      <c r="B57" s="20"/>
      <c r="C57" s="20"/>
      <c r="D57" s="20"/>
    </row>
    <row r="58">
      <c r="A58" s="20"/>
      <c r="B58" s="20"/>
      <c r="C58" s="20"/>
      <c r="D58" s="20"/>
    </row>
    <row r="59">
      <c r="A59" s="20"/>
      <c r="B59" s="20"/>
      <c r="C59" s="20"/>
      <c r="D59" s="20"/>
    </row>
    <row r="60">
      <c r="A60" s="20"/>
      <c r="B60" s="20"/>
      <c r="C60" s="20"/>
      <c r="D60" s="20"/>
    </row>
    <row r="61">
      <c r="A61" s="20"/>
      <c r="B61" s="20"/>
      <c r="C61" s="20"/>
      <c r="D61" s="20"/>
    </row>
    <row r="62">
      <c r="A62" s="20"/>
      <c r="B62" s="20"/>
      <c r="C62" s="20"/>
      <c r="D62" s="20"/>
    </row>
    <row r="63">
      <c r="A63" s="20"/>
      <c r="B63" s="20"/>
      <c r="C63" s="20"/>
      <c r="D63" s="20"/>
    </row>
    <row r="64">
      <c r="A64" s="20"/>
      <c r="B64" s="20"/>
      <c r="C64" s="20"/>
      <c r="D64" s="20"/>
    </row>
    <row r="65">
      <c r="A65" s="20"/>
      <c r="B65" s="20"/>
      <c r="C65" s="20"/>
      <c r="D65" s="20"/>
    </row>
    <row r="66">
      <c r="A66" s="20"/>
      <c r="B66" s="20"/>
      <c r="C66" s="20"/>
      <c r="D66" s="20"/>
    </row>
    <row r="67">
      <c r="A67" s="20"/>
      <c r="B67" s="20"/>
      <c r="C67" s="20"/>
      <c r="D67" s="20"/>
    </row>
  </sheetData>
  <drawing r:id="rId4"/>
  <legacyDrawing r:id="rId5"/>
  <tableParts count="1">
    <tablePart r:id="rId7"/>
  </tableParts>
</worksheet>
</file>